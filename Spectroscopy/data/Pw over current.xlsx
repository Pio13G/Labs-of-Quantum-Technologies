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7e637ee7dfa1c87/Desktop/"/>
    </mc:Choice>
  </mc:AlternateContent>
  <xr:revisionPtr revIDLastSave="167" documentId="11_AD4D5CB4E552A5DACE1C64FF18584C1C5BDEDD95" xr6:coauthVersionLast="47" xr6:coauthVersionMax="47" xr10:uidLastSave="{7B2139B2-CB8A-4856-B6E3-42E35A9AF370}"/>
  <bookViews>
    <workbookView xWindow="-108" yWindow="-108" windowWidth="23256" windowHeight="1245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 s="1"/>
  <c r="B5" i="1"/>
  <c r="C5" i="1" s="1"/>
  <c r="B6" i="1"/>
  <c r="C6" i="1" s="1"/>
  <c r="B3" i="1"/>
  <c r="C3" i="1" s="1"/>
  <c r="C2" i="1"/>
  <c r="C1" i="1"/>
  <c r="B2" i="1"/>
  <c r="B1" i="1"/>
</calcChain>
</file>

<file path=xl/sharedStrings.xml><?xml version="1.0" encoding="utf-8"?>
<sst xmlns="http://schemas.openxmlformats.org/spreadsheetml/2006/main" count="2" uniqueCount="2">
  <si>
    <t>Optical Power</t>
  </si>
  <si>
    <t>Current(mA)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</si>
</sst>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E+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5.9469816272965881E-2"/>
          <c:y val="0.15782407407407409"/>
          <c:w val="0.89653018372703408"/>
          <c:h val="0.7208876494604841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Foglio1!$I$2:$I$43</c:f>
              <c:numCache>
                <c:formatCode>General</c:formatCode>
                <c:ptCount val="42"/>
                <c:pt idx="0">
                  <c:v>0.08</c:v>
                </c:pt>
                <c:pt idx="1">
                  <c:v>10.02</c:v>
                </c:pt>
                <c:pt idx="2">
                  <c:v>20.02</c:v>
                </c:pt>
                <c:pt idx="3">
                  <c:v>30.01</c:v>
                </c:pt>
                <c:pt idx="4">
                  <c:v>40</c:v>
                </c:pt>
                <c:pt idx="5">
                  <c:v>45.01</c:v>
                </c:pt>
                <c:pt idx="6">
                  <c:v>46</c:v>
                </c:pt>
                <c:pt idx="7">
                  <c:v>47</c:v>
                </c:pt>
                <c:pt idx="8">
                  <c:v>47.5</c:v>
                </c:pt>
                <c:pt idx="9">
                  <c:v>48</c:v>
                </c:pt>
                <c:pt idx="10">
                  <c:v>48.5</c:v>
                </c:pt>
                <c:pt idx="11">
                  <c:v>49</c:v>
                </c:pt>
                <c:pt idx="12">
                  <c:v>49.5</c:v>
                </c:pt>
                <c:pt idx="13">
                  <c:v>50</c:v>
                </c:pt>
                <c:pt idx="14">
                  <c:v>50.5</c:v>
                </c:pt>
                <c:pt idx="15">
                  <c:v>51</c:v>
                </c:pt>
                <c:pt idx="16">
                  <c:v>51.51</c:v>
                </c:pt>
                <c:pt idx="17">
                  <c:v>52</c:v>
                </c:pt>
                <c:pt idx="18">
                  <c:v>52.49</c:v>
                </c:pt>
                <c:pt idx="19">
                  <c:v>52.98</c:v>
                </c:pt>
                <c:pt idx="20">
                  <c:v>53.49</c:v>
                </c:pt>
                <c:pt idx="21">
                  <c:v>54</c:v>
                </c:pt>
                <c:pt idx="22">
                  <c:v>54.51</c:v>
                </c:pt>
                <c:pt idx="23">
                  <c:v>55</c:v>
                </c:pt>
                <c:pt idx="24">
                  <c:v>55.51</c:v>
                </c:pt>
                <c:pt idx="25">
                  <c:v>56.01</c:v>
                </c:pt>
                <c:pt idx="26">
                  <c:v>56.49</c:v>
                </c:pt>
                <c:pt idx="27">
                  <c:v>57</c:v>
                </c:pt>
                <c:pt idx="28">
                  <c:v>57.95</c:v>
                </c:pt>
                <c:pt idx="29">
                  <c:v>59.01</c:v>
                </c:pt>
                <c:pt idx="30">
                  <c:v>60.01</c:v>
                </c:pt>
                <c:pt idx="31">
                  <c:v>65</c:v>
                </c:pt>
                <c:pt idx="32">
                  <c:v>70.010000000000005</c:v>
                </c:pt>
                <c:pt idx="33">
                  <c:v>75</c:v>
                </c:pt>
                <c:pt idx="34">
                  <c:v>80</c:v>
                </c:pt>
                <c:pt idx="35">
                  <c:v>90.02</c:v>
                </c:pt>
                <c:pt idx="36">
                  <c:v>100.01</c:v>
                </c:pt>
                <c:pt idx="37">
                  <c:v>120</c:v>
                </c:pt>
                <c:pt idx="38">
                  <c:v>140.02000000000001</c:v>
                </c:pt>
                <c:pt idx="39">
                  <c:v>160</c:v>
                </c:pt>
                <c:pt idx="40">
                  <c:v>180.03</c:v>
                </c:pt>
                <c:pt idx="41">
                  <c:v>200.02</c:v>
                </c:pt>
              </c:numCache>
            </c:numRef>
          </c:xVal>
          <c:yVal>
            <c:numRef>
              <c:f>Foglio1!$J$2:$J$43</c:f>
              <c:numCache>
                <c:formatCode>General</c:formatCode>
                <c:ptCount val="42"/>
                <c:pt idx="0">
                  <c:v>5.4999999999999997E-3</c:v>
                </c:pt>
                <c:pt idx="1">
                  <c:v>5.6499999999999996E-3</c:v>
                </c:pt>
                <c:pt idx="2">
                  <c:v>5.77E-3</c:v>
                </c:pt>
                <c:pt idx="3">
                  <c:v>5.8300000000000001E-3</c:v>
                </c:pt>
                <c:pt idx="4">
                  <c:v>6.5500000000000003E-3</c:v>
                </c:pt>
                <c:pt idx="5">
                  <c:v>7.0800000000000004E-3</c:v>
                </c:pt>
                <c:pt idx="6">
                  <c:v>7.28E-3</c:v>
                </c:pt>
                <c:pt idx="7">
                  <c:v>7.6799999999999993E-2</c:v>
                </c:pt>
                <c:pt idx="8">
                  <c:v>5.2400000000000002E-2</c:v>
                </c:pt>
                <c:pt idx="9">
                  <c:v>9.3600000000000003E-2</c:v>
                </c:pt>
                <c:pt idx="10">
                  <c:v>0.122</c:v>
                </c:pt>
                <c:pt idx="11">
                  <c:v>0.15029999999999999</c:v>
                </c:pt>
                <c:pt idx="12">
                  <c:v>0.17480000000000001</c:v>
                </c:pt>
                <c:pt idx="13">
                  <c:v>0.19769999999999999</c:v>
                </c:pt>
                <c:pt idx="14">
                  <c:v>0.219</c:v>
                </c:pt>
                <c:pt idx="15">
                  <c:v>0.2397</c:v>
                </c:pt>
                <c:pt idx="16">
                  <c:v>0.26029999999999998</c:v>
                </c:pt>
                <c:pt idx="17">
                  <c:v>0.2802</c:v>
                </c:pt>
                <c:pt idx="18">
                  <c:v>0.29909999999999998</c:v>
                </c:pt>
                <c:pt idx="19">
                  <c:v>0.317</c:v>
                </c:pt>
                <c:pt idx="20">
                  <c:v>0.33710000000000001</c:v>
                </c:pt>
                <c:pt idx="21">
                  <c:v>0.35039999999999999</c:v>
                </c:pt>
                <c:pt idx="22">
                  <c:v>0.37859999999999999</c:v>
                </c:pt>
                <c:pt idx="23">
                  <c:v>0.39800000000000002</c:v>
                </c:pt>
                <c:pt idx="24">
                  <c:v>0.41799999999999998</c:v>
                </c:pt>
                <c:pt idx="25">
                  <c:v>0.43730000000000002</c:v>
                </c:pt>
                <c:pt idx="26">
                  <c:v>0.45629999999999998</c:v>
                </c:pt>
                <c:pt idx="27">
                  <c:v>0.47549999999999998</c:v>
                </c:pt>
                <c:pt idx="28">
                  <c:v>0.51180000000000003</c:v>
                </c:pt>
                <c:pt idx="29">
                  <c:v>0.55200000000000005</c:v>
                </c:pt>
                <c:pt idx="30">
                  <c:v>0.59</c:v>
                </c:pt>
                <c:pt idx="31">
                  <c:v>0.77700000000000002</c:v>
                </c:pt>
                <c:pt idx="32">
                  <c:v>0.96599999999999997</c:v>
                </c:pt>
                <c:pt idx="33">
                  <c:v>1.1559999999999999</c:v>
                </c:pt>
                <c:pt idx="34">
                  <c:v>1.347</c:v>
                </c:pt>
                <c:pt idx="35">
                  <c:v>1.738</c:v>
                </c:pt>
                <c:pt idx="36">
                  <c:v>2.1389999999999998</c:v>
                </c:pt>
                <c:pt idx="37">
                  <c:v>2.9729999999999999</c:v>
                </c:pt>
                <c:pt idx="38">
                  <c:v>3.847</c:v>
                </c:pt>
                <c:pt idx="39">
                  <c:v>4.7560000000000002</c:v>
                </c:pt>
                <c:pt idx="40">
                  <c:v>5.69</c:v>
                </c:pt>
                <c:pt idx="41">
                  <c:v>6.65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28-4229-84BA-010B617F98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851599"/>
        <c:axId val="1793853039"/>
      </c:scatterChart>
      <c:valAx>
        <c:axId val="179385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3853039"/>
        <c:crosses val="autoZero"/>
        <c:crossBetween val="midCat"/>
      </c:valAx>
      <c:valAx>
        <c:axId val="1793853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9385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594360</xdr:colOff>
      <xdr:row>17</xdr:row>
      <xdr:rowOff>110490</xdr:rowOff>
    </xdr:from>
    <xdr:to>
      <xdr:col>20</xdr:col>
      <xdr:colOff>487680</xdr:colOff>
      <xdr:row>36</xdr:row>
      <xdr:rowOff>106680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3D96111-6B9A-7766-0C2D-B172F1AC5F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8576"/>
  <sheetViews>
    <sheetView tabSelected="1" workbookViewId="0">
      <selection activeCell="L2" sqref="L2"/>
    </sheetView>
  </sheetViews>
  <sheetFormatPr defaultRowHeight="14.4" x14ac:dyDescent="0.3"/>
  <cols>
    <col min="4" max="4" width="12.44140625" bestFit="1" customWidth="1"/>
    <col min="5" max="6" width="12.109375" bestFit="1" customWidth="1"/>
    <col min="9" max="9" width="10.77734375" customWidth="1"/>
    <col min="10" max="10" width="13.33203125" customWidth="1"/>
  </cols>
  <sheetData>
    <row r="1" spans="1:10" x14ac:dyDescent="0.3">
      <c r="A1">
        <v>10000</v>
      </c>
      <c r="B1">
        <f>1/($D$1+$E$1*LN(A1)+$F$1*POWER(LN(A1),3))</f>
        <v>298.14994644627598</v>
      </c>
      <c r="C1">
        <f>B1-273.15</f>
        <v>24.999946446275999</v>
      </c>
      <c r="D1" s="1">
        <v>1.129241E-3</v>
      </c>
      <c r="E1" s="1">
        <v>2.3410769999999999E-4</v>
      </c>
      <c r="F1" s="1">
        <v>8.7754999999999994E-8</v>
      </c>
      <c r="I1" t="s">
        <v>1</v>
      </c>
      <c r="J1" t="s">
        <v>0</v>
      </c>
    </row>
    <row r="2" spans="1:10" x14ac:dyDescent="0.3">
      <c r="A2">
        <v>9999</v>
      </c>
      <c r="B2">
        <f t="shared" ref="B2:B6" si="0">1/($D$1+$E$1*LN(A2)+$F$1*POWER(LN(A2),3))</f>
        <v>298.15222616268886</v>
      </c>
      <c r="C2">
        <f t="shared" ref="C2:C6" si="1">B2-273.15</f>
        <v>25.002226162688885</v>
      </c>
      <c r="I2">
        <v>0.08</v>
      </c>
      <c r="J2">
        <v>5.4999999999999997E-3</v>
      </c>
    </row>
    <row r="3" spans="1:10" x14ac:dyDescent="0.3">
      <c r="A3">
        <v>6530</v>
      </c>
      <c r="B3">
        <f t="shared" si="0"/>
        <v>308.15109424760152</v>
      </c>
      <c r="C3">
        <f t="shared" si="1"/>
        <v>35.001094247601543</v>
      </c>
      <c r="I3">
        <v>10.02</v>
      </c>
      <c r="J3">
        <v>5.6499999999999996E-3</v>
      </c>
    </row>
    <row r="4" spans="1:10" x14ac:dyDescent="0.3">
      <c r="A4">
        <v>8000</v>
      </c>
      <c r="B4">
        <f t="shared" si="0"/>
        <v>303.31397150371129</v>
      </c>
      <c r="C4">
        <f t="shared" si="1"/>
        <v>30.163971503711309</v>
      </c>
      <c r="I4">
        <v>20.02</v>
      </c>
      <c r="J4">
        <v>5.77E-3</v>
      </c>
    </row>
    <row r="5" spans="1:10" x14ac:dyDescent="0.3">
      <c r="A5">
        <v>8500</v>
      </c>
      <c r="B5">
        <f t="shared" si="0"/>
        <v>301.89551823979303</v>
      </c>
      <c r="C5">
        <f t="shared" si="1"/>
        <v>28.745518239793057</v>
      </c>
      <c r="I5">
        <v>30.01</v>
      </c>
      <c r="J5">
        <v>5.8300000000000001E-3</v>
      </c>
    </row>
    <row r="6" spans="1:10" x14ac:dyDescent="0.3">
      <c r="A6">
        <v>8300</v>
      </c>
      <c r="B6">
        <f t="shared" si="0"/>
        <v>302.45122887657971</v>
      </c>
      <c r="C6">
        <f t="shared" si="1"/>
        <v>29.301228876579728</v>
      </c>
      <c r="I6">
        <v>40</v>
      </c>
      <c r="J6">
        <v>6.5500000000000003E-3</v>
      </c>
    </row>
    <row r="7" spans="1:10" x14ac:dyDescent="0.3">
      <c r="I7">
        <v>45.01</v>
      </c>
      <c r="J7">
        <v>7.0800000000000004E-3</v>
      </c>
    </row>
    <row r="8" spans="1:10" x14ac:dyDescent="0.3">
      <c r="I8">
        <v>46</v>
      </c>
      <c r="J8">
        <v>7.28E-3</v>
      </c>
    </row>
    <row r="9" spans="1:10" x14ac:dyDescent="0.3">
      <c r="I9">
        <v>47</v>
      </c>
      <c r="J9">
        <v>7.6799999999999993E-2</v>
      </c>
    </row>
    <row r="10" spans="1:10" x14ac:dyDescent="0.3">
      <c r="I10">
        <v>47.5</v>
      </c>
      <c r="J10">
        <v>5.2400000000000002E-2</v>
      </c>
    </row>
    <row r="11" spans="1:10" x14ac:dyDescent="0.3">
      <c r="I11">
        <v>48</v>
      </c>
      <c r="J11">
        <v>9.3600000000000003E-2</v>
      </c>
    </row>
    <row r="12" spans="1:10" x14ac:dyDescent="0.3">
      <c r="I12">
        <v>48.5</v>
      </c>
      <c r="J12">
        <v>0.122</v>
      </c>
    </row>
    <row r="13" spans="1:10" x14ac:dyDescent="0.3">
      <c r="I13">
        <v>49</v>
      </c>
      <c r="J13">
        <v>0.15029999999999999</v>
      </c>
    </row>
    <row r="14" spans="1:10" x14ac:dyDescent="0.3">
      <c r="I14">
        <v>49.5</v>
      </c>
      <c r="J14">
        <v>0.17480000000000001</v>
      </c>
    </row>
    <row r="15" spans="1:10" x14ac:dyDescent="0.3">
      <c r="I15">
        <v>50</v>
      </c>
      <c r="J15">
        <v>0.19769999999999999</v>
      </c>
    </row>
    <row r="16" spans="1:10" x14ac:dyDescent="0.3">
      <c r="I16">
        <v>50.5</v>
      </c>
      <c r="J16">
        <v>0.219</v>
      </c>
    </row>
    <row r="17" spans="9:10" x14ac:dyDescent="0.3">
      <c r="I17">
        <v>51</v>
      </c>
      <c r="J17">
        <v>0.2397</v>
      </c>
    </row>
    <row r="18" spans="9:10" x14ac:dyDescent="0.3">
      <c r="I18">
        <v>51.51</v>
      </c>
      <c r="J18">
        <v>0.26029999999999998</v>
      </c>
    </row>
    <row r="19" spans="9:10" x14ac:dyDescent="0.3">
      <c r="I19">
        <v>52</v>
      </c>
      <c r="J19">
        <v>0.2802</v>
      </c>
    </row>
    <row r="20" spans="9:10" x14ac:dyDescent="0.3">
      <c r="I20">
        <v>52.49</v>
      </c>
      <c r="J20">
        <v>0.29909999999999998</v>
      </c>
    </row>
    <row r="21" spans="9:10" x14ac:dyDescent="0.3">
      <c r="I21">
        <v>52.98</v>
      </c>
      <c r="J21">
        <v>0.317</v>
      </c>
    </row>
    <row r="22" spans="9:10" x14ac:dyDescent="0.3">
      <c r="I22">
        <v>53.49</v>
      </c>
      <c r="J22">
        <v>0.33710000000000001</v>
      </c>
    </row>
    <row r="23" spans="9:10" x14ac:dyDescent="0.3">
      <c r="I23">
        <v>54</v>
      </c>
      <c r="J23">
        <v>0.35039999999999999</v>
      </c>
    </row>
    <row r="24" spans="9:10" x14ac:dyDescent="0.3">
      <c r="I24">
        <v>54.51</v>
      </c>
      <c r="J24">
        <v>0.37859999999999999</v>
      </c>
    </row>
    <row r="25" spans="9:10" x14ac:dyDescent="0.3">
      <c r="I25">
        <v>55</v>
      </c>
      <c r="J25">
        <v>0.39800000000000002</v>
      </c>
    </row>
    <row r="26" spans="9:10" x14ac:dyDescent="0.3">
      <c r="I26">
        <v>55.51</v>
      </c>
      <c r="J26">
        <v>0.41799999999999998</v>
      </c>
    </row>
    <row r="27" spans="9:10" x14ac:dyDescent="0.3">
      <c r="I27">
        <v>56.01</v>
      </c>
      <c r="J27">
        <v>0.43730000000000002</v>
      </c>
    </row>
    <row r="28" spans="9:10" x14ac:dyDescent="0.3">
      <c r="I28">
        <v>56.49</v>
      </c>
      <c r="J28">
        <v>0.45629999999999998</v>
      </c>
    </row>
    <row r="29" spans="9:10" x14ac:dyDescent="0.3">
      <c r="I29">
        <v>57</v>
      </c>
      <c r="J29">
        <v>0.47549999999999998</v>
      </c>
    </row>
    <row r="30" spans="9:10" x14ac:dyDescent="0.3">
      <c r="I30">
        <v>57.95</v>
      </c>
      <c r="J30">
        <v>0.51180000000000003</v>
      </c>
    </row>
    <row r="31" spans="9:10" x14ac:dyDescent="0.3">
      <c r="I31">
        <v>59.01</v>
      </c>
      <c r="J31">
        <v>0.55200000000000005</v>
      </c>
    </row>
    <row r="32" spans="9:10" x14ac:dyDescent="0.3">
      <c r="I32">
        <v>60.01</v>
      </c>
      <c r="J32">
        <v>0.59</v>
      </c>
    </row>
    <row r="33" spans="9:10" x14ac:dyDescent="0.3">
      <c r="I33">
        <v>65</v>
      </c>
      <c r="J33">
        <v>0.77700000000000002</v>
      </c>
    </row>
    <row r="34" spans="9:10" x14ac:dyDescent="0.3">
      <c r="I34">
        <v>70.010000000000005</v>
      </c>
      <c r="J34">
        <v>0.96599999999999997</v>
      </c>
    </row>
    <row r="35" spans="9:10" x14ac:dyDescent="0.3">
      <c r="I35">
        <v>75</v>
      </c>
      <c r="J35">
        <v>1.1559999999999999</v>
      </c>
    </row>
    <row r="36" spans="9:10" x14ac:dyDescent="0.3">
      <c r="I36">
        <v>80</v>
      </c>
      <c r="J36">
        <v>1.347</v>
      </c>
    </row>
    <row r="37" spans="9:10" x14ac:dyDescent="0.3">
      <c r="I37">
        <v>90.02</v>
      </c>
      <c r="J37">
        <v>1.738</v>
      </c>
    </row>
    <row r="38" spans="9:10" x14ac:dyDescent="0.3">
      <c r="I38">
        <v>100.01</v>
      </c>
      <c r="J38">
        <v>2.1389999999999998</v>
      </c>
    </row>
    <row r="39" spans="9:10" x14ac:dyDescent="0.3">
      <c r="I39">
        <v>120</v>
      </c>
      <c r="J39">
        <v>2.9729999999999999</v>
      </c>
    </row>
    <row r="40" spans="9:10" x14ac:dyDescent="0.3">
      <c r="I40">
        <v>140.02000000000001</v>
      </c>
      <c r="J40">
        <v>3.847</v>
      </c>
    </row>
    <row r="41" spans="9:10" x14ac:dyDescent="0.3">
      <c r="I41">
        <v>160</v>
      </c>
      <c r="J41">
        <v>4.7560000000000002</v>
      </c>
    </row>
    <row r="42" spans="9:10" x14ac:dyDescent="0.3">
      <c r="I42">
        <v>180.03</v>
      </c>
      <c r="J42">
        <v>5.69</v>
      </c>
    </row>
    <row r="43" spans="9:10" x14ac:dyDescent="0.3">
      <c r="I43">
        <v>200.02</v>
      </c>
      <c r="J43">
        <v>6.65</v>
      </c>
    </row>
    <row r="1048576" spans="4:4" x14ac:dyDescent="0.3">
      <c r="D1048576">
        <v>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Pio Maurutto</dc:creator>
  <cp:lastModifiedBy>Simone Pio Maurutto</cp:lastModifiedBy>
  <dcterms:created xsi:type="dcterms:W3CDTF">2015-06-05T18:19:34Z</dcterms:created>
  <dcterms:modified xsi:type="dcterms:W3CDTF">2025-11-06T14:21:27Z</dcterms:modified>
</cp:coreProperties>
</file>